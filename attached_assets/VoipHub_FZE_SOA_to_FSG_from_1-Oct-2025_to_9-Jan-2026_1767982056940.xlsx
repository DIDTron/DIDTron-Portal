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13_ncr:1_{C290870D-E010-4AD1-B0FD-F1DD5CC9F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st Sunrise Group I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58" i="1"/>
  <c r="E59" i="1" s="1"/>
  <c r="E60" i="1" s="1"/>
  <c r="E61" i="1" s="1"/>
  <c r="E62" i="1" s="1"/>
  <c r="E63" i="1" s="1"/>
  <c r="E64" i="1" s="1"/>
  <c r="E57" i="1"/>
  <c r="E56" i="1"/>
  <c r="C30" i="1"/>
  <c r="B13" i="1" s="1"/>
  <c r="B18" i="1" s="1"/>
  <c r="B20" i="1" s="1"/>
  <c r="B14" i="1"/>
  <c r="C41" i="1"/>
</calcChain>
</file>

<file path=xl/sharedStrings.xml><?xml version="1.0" encoding="utf-8"?>
<sst xmlns="http://schemas.openxmlformats.org/spreadsheetml/2006/main" count="149" uniqueCount="57">
  <si>
    <t>Account</t>
  </si>
  <si>
    <t/>
  </si>
  <si>
    <t>Address</t>
  </si>
  <si>
    <t>Billing Address</t>
  </si>
  <si>
    <t>Carrier Name</t>
  </si>
  <si>
    <t>Account Number</t>
  </si>
  <si>
    <t>101</t>
  </si>
  <si>
    <t>Statement Date</t>
  </si>
  <si>
    <t>09-01-26</t>
  </si>
  <si>
    <t>Period Start Date</t>
  </si>
  <si>
    <t>01-01-2025</t>
  </si>
  <si>
    <t>Period End Date</t>
  </si>
  <si>
    <t>Customer Statement Summary</t>
  </si>
  <si>
    <t>Amount</t>
  </si>
  <si>
    <t>Opening Balance</t>
  </si>
  <si>
    <t>Total Invoices</t>
  </si>
  <si>
    <t>Total Payments</t>
  </si>
  <si>
    <t>Total Credit Notes</t>
  </si>
  <si>
    <t>0.00</t>
  </si>
  <si>
    <t>Total Netting</t>
  </si>
  <si>
    <t>Net Transactions</t>
  </si>
  <si>
    <t>Closing Balance</t>
  </si>
  <si>
    <t>Unbilled Amount</t>
  </si>
  <si>
    <t>Overdue</t>
  </si>
  <si>
    <t>Invoices</t>
  </si>
  <si>
    <t>Date</t>
  </si>
  <si>
    <t>Details</t>
  </si>
  <si>
    <t>Sub Total</t>
  </si>
  <si>
    <t>Payments</t>
  </si>
  <si>
    <t>00000013</t>
  </si>
  <si>
    <t>00000016</t>
  </si>
  <si>
    <t>00000018</t>
  </si>
  <si>
    <t>00000020</t>
  </si>
  <si>
    <t>Credit Notes</t>
  </si>
  <si>
    <t>Netting</t>
  </si>
  <si>
    <t>Statement Details</t>
  </si>
  <si>
    <t>Transaction</t>
  </si>
  <si>
    <t>Carrier Balance</t>
  </si>
  <si>
    <t>Invoice</t>
  </si>
  <si>
    <t>Payment</t>
  </si>
  <si>
    <t>First Sunrise Group Inc</t>
  </si>
  <si>
    <t>1008 - 01-11-2025 to 15-11-2025</t>
  </si>
  <si>
    <t>1009 - 16-11-2025 to 30-11-2025</t>
  </si>
  <si>
    <t>16/12/2025</t>
  </si>
  <si>
    <t>1011 - 01-12-2025 to 15-12-2025</t>
  </si>
  <si>
    <t>47971 - 16-12-2025 to 31-12-2025</t>
  </si>
  <si>
    <t>Dubai Bank</t>
  </si>
  <si>
    <t>In Hand-Mostafa</t>
  </si>
  <si>
    <t>1007 - 15-10-2025 to 31-10-2025</t>
  </si>
  <si>
    <t>16/11/2025</t>
  </si>
  <si>
    <t>26/11/2025</t>
  </si>
  <si>
    <t>23/12/2025</t>
  </si>
  <si>
    <t>26/12/2025</t>
  </si>
  <si>
    <t>11760 W Sample Rd, Coral Springs, Florida, 33065</t>
  </si>
  <si>
    <t>USA</t>
  </si>
  <si>
    <t>current</t>
  </si>
  <si>
    <t>00000021 - 01-01-2026 to 09-01-2026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</si>
</sst>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Aptos Narrow"/>
    </font>
    <font>
      <sz val="11"/>
      <color theme="1"/>
      <name val="Aptos Narrow"/>
      <family val="2"/>
      <scheme val="minor"/>
    </font>
    <font>
      <b/>
      <sz val="14"/>
      <name val="Aptos Narrow"/>
    </font>
    <font>
      <b/>
      <sz val="11"/>
      <name val="Aptos Narrow"/>
    </font>
    <font>
      <sz val="11"/>
      <color rgb="FF000000"/>
      <name val="Microsoft YaHei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 vertical="top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right" vertical="top"/>
    </xf>
    <xf numFmtId="2" fontId="3" fillId="2" borderId="1" xfId="0" applyNumberFormat="1" applyFont="1" applyFill="1" applyBorder="1" applyAlignment="1">
      <alignment horizontal="righ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612F8635-601D-48C3-80AB-D4A2CBB30B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48" workbookViewId="0">
      <selection activeCell="E66" sqref="E66"/>
    </sheetView>
  </sheetViews>
  <sheetFormatPr defaultRowHeight="14.4"/>
  <cols>
    <col min="1" max="1" width="25" bestFit="1" customWidth="1"/>
    <col min="2" max="2" width="28.6640625" bestFit="1" customWidth="1"/>
    <col min="3" max="3" width="31.77734375" bestFit="1" customWidth="1"/>
    <col min="4" max="300" width="25" bestFit="1" customWidth="1"/>
  </cols>
  <sheetData>
    <row r="1" spans="1:6">
      <c r="A1" s="1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15.6">
      <c r="A2" t="s">
        <v>4</v>
      </c>
      <c r="B2" s="7" t="s">
        <v>40</v>
      </c>
      <c r="C2" t="s">
        <v>1</v>
      </c>
      <c r="D2" t="s">
        <v>53</v>
      </c>
      <c r="E2" t="s">
        <v>1</v>
      </c>
      <c r="F2" t="s">
        <v>53</v>
      </c>
    </row>
    <row r="3" spans="1:6">
      <c r="A3" t="s">
        <v>5</v>
      </c>
      <c r="B3" t="s">
        <v>6</v>
      </c>
      <c r="C3" t="s">
        <v>1</v>
      </c>
      <c r="D3" s="8" t="s">
        <v>54</v>
      </c>
      <c r="E3" t="s">
        <v>1</v>
      </c>
      <c r="F3" s="8" t="s">
        <v>54</v>
      </c>
    </row>
    <row r="4" spans="1:6">
      <c r="A4" t="s">
        <v>7</v>
      </c>
      <c r="B4" t="s">
        <v>8</v>
      </c>
      <c r="C4" t="s">
        <v>1</v>
      </c>
      <c r="D4" t="s">
        <v>1</v>
      </c>
      <c r="E4" t="s">
        <v>1</v>
      </c>
      <c r="F4" t="s">
        <v>1</v>
      </c>
    </row>
    <row r="5" spans="1:6">
      <c r="A5" t="s">
        <v>9</v>
      </c>
      <c r="B5" t="s">
        <v>10</v>
      </c>
      <c r="C5" t="s">
        <v>1</v>
      </c>
      <c r="D5" t="s">
        <v>1</v>
      </c>
      <c r="E5" t="s">
        <v>1</v>
      </c>
      <c r="F5" t="s">
        <v>1</v>
      </c>
    </row>
    <row r="6" spans="1:6">
      <c r="A6" t="s">
        <v>11</v>
      </c>
      <c r="B6" t="s">
        <v>8</v>
      </c>
      <c r="C6" t="s">
        <v>1</v>
      </c>
      <c r="D6" t="s">
        <v>1</v>
      </c>
      <c r="E6" t="s">
        <v>1</v>
      </c>
      <c r="F6" t="s">
        <v>1</v>
      </c>
    </row>
    <row r="7" spans="1:6">
      <c r="A7" t="s">
        <v>1</v>
      </c>
      <c r="B7" t="s">
        <v>1</v>
      </c>
      <c r="C7" t="s">
        <v>1</v>
      </c>
      <c r="D7" s="8" t="s">
        <v>54</v>
      </c>
      <c r="E7" t="s">
        <v>1</v>
      </c>
      <c r="F7" s="8" t="s">
        <v>54</v>
      </c>
    </row>
    <row r="8" spans="1:6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11" spans="1:6">
      <c r="A11" s="1" t="s">
        <v>12</v>
      </c>
      <c r="B11" s="2" t="s">
        <v>13</v>
      </c>
    </row>
    <row r="12" spans="1:6">
      <c r="A12" t="s">
        <v>14</v>
      </c>
      <c r="B12" s="3" t="s">
        <v>18</v>
      </c>
    </row>
    <row r="13" spans="1:6">
      <c r="A13" t="s">
        <v>15</v>
      </c>
      <c r="B13" s="10">
        <f>C30</f>
        <v>51205.149999999994</v>
      </c>
    </row>
    <row r="14" spans="1:6">
      <c r="A14" t="s">
        <v>16</v>
      </c>
      <c r="B14" s="3">
        <f>-C41</f>
        <v>-37733.68</v>
      </c>
    </row>
    <row r="15" spans="1:6">
      <c r="A15" t="s">
        <v>17</v>
      </c>
      <c r="B15" s="3" t="s">
        <v>18</v>
      </c>
    </row>
    <row r="16" spans="1:6">
      <c r="A16" t="s">
        <v>19</v>
      </c>
      <c r="B16" s="3" t="s">
        <v>18</v>
      </c>
    </row>
    <row r="17" spans="1:4">
      <c r="A17" t="s">
        <v>20</v>
      </c>
      <c r="B17" s="3" t="s">
        <v>18</v>
      </c>
    </row>
    <row r="18" spans="1:4">
      <c r="A18" t="s">
        <v>21</v>
      </c>
      <c r="B18" s="11">
        <f>B13+B14</f>
        <v>13471.469999999994</v>
      </c>
    </row>
    <row r="19" spans="1:4">
      <c r="A19" t="s">
        <v>22</v>
      </c>
      <c r="B19" s="3">
        <v>3646.84</v>
      </c>
    </row>
    <row r="20" spans="1:4">
      <c r="A20" t="s">
        <v>23</v>
      </c>
      <c r="B20" s="10">
        <f>B18+B19</f>
        <v>17118.309999999994</v>
      </c>
    </row>
    <row r="23" spans="1:4" ht="18">
      <c r="A23" s="5" t="s">
        <v>24</v>
      </c>
    </row>
    <row r="24" spans="1:4">
      <c r="A24" s="1" t="s">
        <v>25</v>
      </c>
      <c r="B24" s="1" t="s">
        <v>26</v>
      </c>
      <c r="C24" s="2" t="s">
        <v>13</v>
      </c>
    </row>
    <row r="25" spans="1:4">
      <c r="A25" s="9">
        <v>45668</v>
      </c>
      <c r="B25" s="8" t="s">
        <v>48</v>
      </c>
      <c r="C25" s="10">
        <v>5569.21</v>
      </c>
    </row>
    <row r="26" spans="1:4">
      <c r="A26" s="12" t="s">
        <v>49</v>
      </c>
      <c r="B26" s="8" t="s">
        <v>41</v>
      </c>
      <c r="C26" s="10">
        <v>5998.41</v>
      </c>
    </row>
    <row r="27" spans="1:4">
      <c r="A27" s="12" t="s">
        <v>43</v>
      </c>
      <c r="B27" s="8" t="s">
        <v>42</v>
      </c>
      <c r="C27" s="10">
        <v>7907.82</v>
      </c>
    </row>
    <row r="28" spans="1:4">
      <c r="A28" s="12" t="s">
        <v>43</v>
      </c>
      <c r="B28" s="8" t="s">
        <v>44</v>
      </c>
      <c r="C28" s="10">
        <v>12257.45</v>
      </c>
    </row>
    <row r="29" spans="1:4">
      <c r="A29" s="9">
        <v>46113</v>
      </c>
      <c r="B29" s="8" t="s">
        <v>45</v>
      </c>
      <c r="C29" s="10">
        <v>19472.259999999998</v>
      </c>
    </row>
    <row r="30" spans="1:4" ht="18">
      <c r="A30" s="6" t="s">
        <v>1</v>
      </c>
      <c r="B30" s="5" t="s">
        <v>27</v>
      </c>
      <c r="C30" s="11">
        <f>SUM(C25:C29)</f>
        <v>51205.149999999994</v>
      </c>
      <c r="D30" s="6" t="s">
        <v>1</v>
      </c>
    </row>
    <row r="33" spans="1:4" ht="18">
      <c r="A33" s="5" t="s">
        <v>28</v>
      </c>
    </row>
    <row r="34" spans="1:4">
      <c r="A34" s="1" t="s">
        <v>25</v>
      </c>
      <c r="B34" s="1" t="s">
        <v>26</v>
      </c>
      <c r="C34" s="2" t="s">
        <v>13</v>
      </c>
    </row>
    <row r="35" spans="1:4">
      <c r="A35" s="9">
        <v>45972</v>
      </c>
      <c r="B35" t="s">
        <v>29</v>
      </c>
      <c r="C35" s="3">
        <v>5570</v>
      </c>
      <c r="D35" s="8" t="s">
        <v>46</v>
      </c>
    </row>
    <row r="36" spans="1:4">
      <c r="A36" s="13" t="s">
        <v>50</v>
      </c>
      <c r="B36" t="s">
        <v>30</v>
      </c>
      <c r="C36" s="3">
        <v>10000</v>
      </c>
      <c r="D36" s="8" t="s">
        <v>47</v>
      </c>
    </row>
    <row r="37" spans="1:4">
      <c r="A37" s="13" t="s">
        <v>51</v>
      </c>
      <c r="B37" t="s">
        <v>31</v>
      </c>
      <c r="C37" s="3">
        <v>16163.68</v>
      </c>
      <c r="D37" s="8" t="s">
        <v>46</v>
      </c>
    </row>
    <row r="38" spans="1:4">
      <c r="A38" s="13" t="s">
        <v>52</v>
      </c>
      <c r="B38" t="s">
        <v>32</v>
      </c>
      <c r="C38" s="3">
        <v>6000</v>
      </c>
      <c r="D38" s="8" t="s">
        <v>47</v>
      </c>
    </row>
    <row r="39" spans="1:4">
      <c r="C39" s="3"/>
    </row>
    <row r="40" spans="1:4">
      <c r="C40" s="3"/>
    </row>
    <row r="41" spans="1:4" ht="18">
      <c r="A41" s="6" t="s">
        <v>1</v>
      </c>
      <c r="B41" s="5" t="s">
        <v>27</v>
      </c>
      <c r="C41" s="4">
        <f>SUM(C35:C38)</f>
        <v>37733.68</v>
      </c>
      <c r="D41" s="6" t="s">
        <v>1</v>
      </c>
    </row>
    <row r="44" spans="1:4" ht="18">
      <c r="A44" s="5" t="s">
        <v>33</v>
      </c>
    </row>
    <row r="45" spans="1:4">
      <c r="A45" s="1" t="s">
        <v>25</v>
      </c>
      <c r="B45" s="1" t="s">
        <v>26</v>
      </c>
      <c r="C45" s="2" t="s">
        <v>13</v>
      </c>
    </row>
    <row r="46" spans="1:4" ht="18">
      <c r="A46" s="6" t="s">
        <v>1</v>
      </c>
      <c r="B46" s="5" t="s">
        <v>27</v>
      </c>
      <c r="C46" s="4" t="s">
        <v>18</v>
      </c>
      <c r="D46" s="6" t="s">
        <v>1</v>
      </c>
    </row>
    <row r="49" spans="1:6" ht="18">
      <c r="A49" s="5" t="s">
        <v>34</v>
      </c>
    </row>
    <row r="50" spans="1:6">
      <c r="A50" s="1" t="s">
        <v>25</v>
      </c>
      <c r="B50" s="1" t="s">
        <v>26</v>
      </c>
      <c r="C50" s="2" t="s">
        <v>13</v>
      </c>
    </row>
    <row r="51" spans="1:6" ht="18">
      <c r="A51" s="6" t="s">
        <v>1</v>
      </c>
      <c r="B51" s="5" t="s">
        <v>27</v>
      </c>
      <c r="C51" s="4" t="s">
        <v>18</v>
      </c>
      <c r="D51" s="6" t="s">
        <v>1</v>
      </c>
    </row>
    <row r="54" spans="1:6" ht="18">
      <c r="A54" s="5" t="s">
        <v>35</v>
      </c>
    </row>
    <row r="55" spans="1:6">
      <c r="A55" s="1" t="s">
        <v>25</v>
      </c>
      <c r="B55" s="1" t="s">
        <v>36</v>
      </c>
      <c r="C55" s="1" t="s">
        <v>26</v>
      </c>
      <c r="D55" s="2" t="s">
        <v>13</v>
      </c>
      <c r="E55" s="2" t="s">
        <v>37</v>
      </c>
    </row>
    <row r="56" spans="1:6">
      <c r="A56" s="9">
        <v>45668</v>
      </c>
      <c r="B56" t="s">
        <v>38</v>
      </c>
      <c r="C56" s="8" t="s">
        <v>48</v>
      </c>
      <c r="D56" s="10">
        <v>-5569.21</v>
      </c>
      <c r="E56" s="10">
        <f>D56</f>
        <v>-5569.21</v>
      </c>
    </row>
    <row r="57" spans="1:6">
      <c r="A57" s="9">
        <v>45972</v>
      </c>
      <c r="B57" t="s">
        <v>39</v>
      </c>
      <c r="C57" t="s">
        <v>29</v>
      </c>
      <c r="D57" s="3">
        <v>5570</v>
      </c>
      <c r="E57" s="10">
        <f>E56+D57</f>
        <v>0.78999999999996362</v>
      </c>
      <c r="F57" s="8" t="s">
        <v>46</v>
      </c>
    </row>
    <row r="58" spans="1:6">
      <c r="A58" s="12" t="s">
        <v>49</v>
      </c>
      <c r="B58" t="s">
        <v>38</v>
      </c>
      <c r="C58" s="8" t="s">
        <v>41</v>
      </c>
      <c r="D58" s="10">
        <v>-5998.41</v>
      </c>
      <c r="E58" s="10">
        <f t="shared" ref="E58:E64" si="0">E57+D58</f>
        <v>-5997.62</v>
      </c>
    </row>
    <row r="59" spans="1:6">
      <c r="A59" s="13" t="s">
        <v>50</v>
      </c>
      <c r="B59" t="s">
        <v>39</v>
      </c>
      <c r="C59" t="s">
        <v>30</v>
      </c>
      <c r="D59" s="3">
        <v>10000</v>
      </c>
      <c r="E59" s="10">
        <f t="shared" si="0"/>
        <v>4002.38</v>
      </c>
      <c r="F59" s="8" t="s">
        <v>47</v>
      </c>
    </row>
    <row r="60" spans="1:6">
      <c r="A60" s="12" t="s">
        <v>43</v>
      </c>
      <c r="B60" t="s">
        <v>38</v>
      </c>
      <c r="C60" s="8" t="s">
        <v>42</v>
      </c>
      <c r="D60" s="10">
        <v>-7907.82</v>
      </c>
      <c r="E60" s="10">
        <f t="shared" si="0"/>
        <v>-3905.4399999999996</v>
      </c>
    </row>
    <row r="61" spans="1:6">
      <c r="A61" s="12" t="s">
        <v>43</v>
      </c>
      <c r="B61" t="s">
        <v>38</v>
      </c>
      <c r="C61" s="8" t="s">
        <v>44</v>
      </c>
      <c r="D61" s="10">
        <v>-12257.45</v>
      </c>
      <c r="E61" s="10">
        <f t="shared" si="0"/>
        <v>-16162.89</v>
      </c>
    </row>
    <row r="62" spans="1:6">
      <c r="A62" s="13" t="s">
        <v>51</v>
      </c>
      <c r="B62" t="s">
        <v>39</v>
      </c>
      <c r="C62">
        <v>18</v>
      </c>
      <c r="D62" s="3">
        <v>16163.68</v>
      </c>
      <c r="E62" s="10">
        <f t="shared" si="0"/>
        <v>0.79000000000087311</v>
      </c>
      <c r="F62" s="8" t="s">
        <v>46</v>
      </c>
    </row>
    <row r="63" spans="1:6">
      <c r="A63" s="13" t="s">
        <v>52</v>
      </c>
      <c r="B63" t="s">
        <v>39</v>
      </c>
      <c r="C63" t="s">
        <v>32</v>
      </c>
      <c r="D63" s="3">
        <v>6000</v>
      </c>
      <c r="E63" s="10">
        <f t="shared" si="0"/>
        <v>6000.7900000000009</v>
      </c>
      <c r="F63" s="8" t="s">
        <v>47</v>
      </c>
    </row>
    <row r="64" spans="1:6">
      <c r="A64" s="9">
        <v>46113</v>
      </c>
      <c r="B64" t="s">
        <v>38</v>
      </c>
      <c r="C64" s="8" t="s">
        <v>45</v>
      </c>
      <c r="D64" s="10">
        <v>-19472.259999999998</v>
      </c>
      <c r="E64" s="10">
        <f t="shared" si="0"/>
        <v>-13471.469999999998</v>
      </c>
    </row>
    <row r="65" spans="1:5">
      <c r="D65" s="3"/>
      <c r="E65" s="3"/>
    </row>
    <row r="66" spans="1:5">
      <c r="A66" t="s">
        <v>22</v>
      </c>
      <c r="B66" s="8" t="s">
        <v>55</v>
      </c>
      <c r="C66" s="8" t="s">
        <v>56</v>
      </c>
      <c r="D66" s="3"/>
      <c r="E66" s="3">
        <v>-3646.84</v>
      </c>
    </row>
    <row r="67" spans="1:5">
      <c r="A67" t="s">
        <v>23</v>
      </c>
      <c r="E67" s="10">
        <f>E64+E66</f>
        <v>-17118.309999999998</v>
      </c>
    </row>
  </sheetData>
  <pageMargins left="0.7" right="0.7" top="0.75" bottom="0.75" header="0.3" footer="0.3"/>
  <ignoredErrors>
    <ignoredError sqref="B3:B9 B12 B35:B38 C57 B41 B17 B15:B16 B21 C59 C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Sunrise Group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Wilcox</cp:lastModifiedBy>
  <dcterms:created xsi:type="dcterms:W3CDTF">2026-01-09T14:25:31Z</dcterms:created>
  <dcterms:modified xsi:type="dcterms:W3CDTF">2026-01-09T14:32:36Z</dcterms:modified>
</cp:coreProperties>
</file>